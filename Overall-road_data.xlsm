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ntaoliu/Documents/OD/"/>
    </mc:Choice>
  </mc:AlternateContent>
  <xr:revisionPtr revIDLastSave="0" documentId="13_ncr:1_{C150EC96-2429-7B44-BA8D-DD287FD05141}" xr6:coauthVersionLast="40" xr6:coauthVersionMax="40" xr10:uidLastSave="{00000000-0000-0000-0000-000000000000}"/>
  <bookViews>
    <workbookView xWindow="12860" yWindow="460" windowWidth="14360" windowHeight="16060" xr2:uid="{FAE20BB5-8124-204F-8581-E02A910ED5B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40" i="1" l="1"/>
  <c r="G41" i="1"/>
  <c r="G141" i="1" l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54" i="1" l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5" i="1" l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5" i="1" s="1"/>
  <c r="G106" i="1" s="1"/>
  <c r="G107" i="1" s="1"/>
  <c r="G108" i="1" s="1"/>
  <c r="G109" i="1" s="1"/>
  <c r="G42" i="1"/>
  <c r="G43" i="1" s="1"/>
  <c r="G44" i="1" s="1"/>
  <c r="G45" i="1" s="1"/>
  <c r="G46" i="1" s="1"/>
  <c r="G47" i="1" s="1"/>
  <c r="G48" i="1" s="1"/>
  <c r="G49" i="1" s="1"/>
  <c r="G50" i="1" s="1"/>
  <c r="G51" i="1" s="1"/>
  <c r="G12" i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2" i="1"/>
  <c r="G3" i="1" s="1"/>
  <c r="G4" i="1" s="1"/>
  <c r="G5" i="1" s="1"/>
  <c r="G6" i="1" s="1"/>
  <c r="G7" i="1" s="1"/>
  <c r="G8" i="1" s="1"/>
  <c r="G9" i="1" s="1"/>
  <c r="G122" i="1" l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10" i="1"/>
  <c r="G111" i="1" s="1"/>
  <c r="G112" i="1" s="1"/>
  <c r="G113" i="1" s="1"/>
  <c r="G114" i="1" s="1"/>
  <c r="G115" i="1" s="1"/>
  <c r="G116" i="1" s="1"/>
  <c r="G117" i="1" s="1"/>
  <c r="G118" i="1" s="1"/>
  <c r="G119" i="1" s="1"/>
</calcChain>
</file>

<file path=xl/sharedStrings.xml><?xml version="1.0" encoding="utf-8"?>
<sst xmlns="http://schemas.openxmlformats.org/spreadsheetml/2006/main" count="172" uniqueCount="137">
  <si>
    <t xml:space="preserve">stoporder </t>
  </si>
  <si>
    <t>onboard</t>
  </si>
  <si>
    <t>offboard</t>
  </si>
  <si>
    <t>arrtime</t>
  </si>
  <si>
    <t>passenger</t>
  </si>
  <si>
    <t>stopname</t>
  </si>
  <si>
    <t>northgate tc</t>
  </si>
  <si>
    <t>103 st</t>
  </si>
  <si>
    <t>108th st</t>
  </si>
  <si>
    <t>ne 90th st</t>
  </si>
  <si>
    <t>ne 85th st</t>
  </si>
  <si>
    <t xml:space="preserve">ne 80th st </t>
  </si>
  <si>
    <t>ne 75th st</t>
  </si>
  <si>
    <t>ne 69th st</t>
  </si>
  <si>
    <t>ne 65th st</t>
  </si>
  <si>
    <t>ne 50 st</t>
  </si>
  <si>
    <t>Route 67 back</t>
  </si>
  <si>
    <t xml:space="preserve">40th ave ne </t>
  </si>
  <si>
    <t xml:space="preserve">36th ave ne </t>
  </si>
  <si>
    <t>union bay pl ne</t>
  </si>
  <si>
    <t>ne 45th st</t>
  </si>
  <si>
    <t>pend oreille rd</t>
  </si>
  <si>
    <t>benton ln</t>
  </si>
  <si>
    <t>rainier ris</t>
  </si>
  <si>
    <t>stevens way</t>
  </si>
  <si>
    <t>ne campus pkwy</t>
  </si>
  <si>
    <t>ne 42nd st</t>
  </si>
  <si>
    <t>ne 47th st</t>
  </si>
  <si>
    <t>ne 50th st</t>
  </si>
  <si>
    <t>ne 52nd st</t>
  </si>
  <si>
    <t>ne ravena</t>
  </si>
  <si>
    <t>ne 61st st</t>
  </si>
  <si>
    <t>ne 70th st</t>
  </si>
  <si>
    <t>ne 92nd st</t>
  </si>
  <si>
    <t>ne 100th st</t>
  </si>
  <si>
    <t>roosevelt way ne</t>
  </si>
  <si>
    <t>ne northgate ne</t>
  </si>
  <si>
    <t>northgate mall</t>
  </si>
  <si>
    <t>5th ave ne</t>
  </si>
  <si>
    <t>Route 67</t>
  </si>
  <si>
    <t>Last Route</t>
  </si>
  <si>
    <t>start</t>
  </si>
  <si>
    <t>3rd ave w</t>
  </si>
  <si>
    <t>w prospect st</t>
  </si>
  <si>
    <t>w galcr st</t>
  </si>
  <si>
    <t>w newton st</t>
  </si>
  <si>
    <t>jesse ave e</t>
  </si>
  <si>
    <t xml:space="preserve">3rd ave w </t>
  </si>
  <si>
    <t>florentia st</t>
  </si>
  <si>
    <t>troll ave n</t>
  </si>
  <si>
    <t>n 35th st</t>
  </si>
  <si>
    <t xml:space="preserve">7th ave ne </t>
  </si>
  <si>
    <t>n 34th st</t>
  </si>
  <si>
    <t>Sand Point Way Ne &amp; 40th Ave Ne</t>
  </si>
  <si>
    <t>Ne 45th St &amp; 36th Ave Ne</t>
  </si>
  <si>
    <t>Ne 45th St &amp; Union Bay Pl Ne</t>
  </si>
  <si>
    <t>Montlake Blvd Ne &amp; Ne 45th St</t>
  </si>
  <si>
    <t>Stevens Way &amp; Pend Oreille Rd</t>
  </si>
  <si>
    <t>Stevens Way &amp; Benton Ln</t>
  </si>
  <si>
    <t>Stevens Way &amp; Rainier Vis</t>
  </si>
  <si>
    <t>Stevens Way &amp; Garfield Ln</t>
  </si>
  <si>
    <t>Grant Ln &amp; Stevens Way</t>
  </si>
  <si>
    <t>Brooklyn Ave Ne &amp; Ne Campus Pkwy</t>
  </si>
  <si>
    <t>11th Ave Ne &amp; Ne 42nd St</t>
  </si>
  <si>
    <t>11th Ave Ne &amp; Ne 45th St</t>
  </si>
  <si>
    <t>11th Ave Ne &amp; Ne 47th St</t>
  </si>
  <si>
    <t>11th Ave Ne &amp; Ne 50th St</t>
  </si>
  <si>
    <t>11th Ave Ne &amp; Ne 52nd St</t>
  </si>
  <si>
    <t>11th Ave Ne &amp; Ne 55th St</t>
  </si>
  <si>
    <t>11th Ave Ne &amp; Ne Ravenna Blvd</t>
  </si>
  <si>
    <t>12th Ave Ne &amp; Ne 61st St</t>
  </si>
  <si>
    <t>12th Ave Ne &amp; Ne 65th St</t>
  </si>
  <si>
    <t>12th Ave Ne &amp; Ne 70th St</t>
  </si>
  <si>
    <t>Ne 75th St &amp; 12th Ave Ne</t>
  </si>
  <si>
    <t>Roosevelt Way Ne &amp; Ne 75th St</t>
  </si>
  <si>
    <t>Roosevelt Way Ne &amp; Ne 80th St</t>
  </si>
  <si>
    <t>Roosevelt Way Ne &amp; Ne 85th St</t>
  </si>
  <si>
    <t>Roosevelt Way Ne &amp; Ne 90th St</t>
  </si>
  <si>
    <t>Roosevelt Way Ne &amp; Ne 92nd St</t>
  </si>
  <si>
    <t>Roosevelt Way Ne &amp; Ne 95th St</t>
  </si>
  <si>
    <t>Roosevelt Way Ne &amp; Ne 105th St</t>
  </si>
  <si>
    <t>Roosevelt Way Ne &amp; Ne 108th St</t>
  </si>
  <si>
    <t>Ne Northgate Way &amp; Roosevelt Way Ne</t>
  </si>
  <si>
    <t>5th Ave Ne &amp; Ne Northgate Way</t>
  </si>
  <si>
    <t>5th Ave Ne &amp; Northgate Mall</t>
  </si>
  <si>
    <t>Ne 103rd St &amp; 5th Ave Ne</t>
  </si>
  <si>
    <t>Northgate Tc</t>
  </si>
  <si>
    <t xml:space="preserve">Route 67 to District Roosevelt </t>
  </si>
  <si>
    <t>Northgate Tc - Bay 1</t>
  </si>
  <si>
    <t>5th Ave Ne &amp; Ne 103rd St</t>
  </si>
  <si>
    <t>5th Ave Ne &amp; Ne 106th St</t>
  </si>
  <si>
    <t>Ne Northgate Way &amp; 5th Ave Ne</t>
  </si>
  <si>
    <t>Roosevelt Way Ne &amp; Ne 102nd St</t>
  </si>
  <si>
    <t>Roosevelt Way Ne &amp; Ne 69th St</t>
  </si>
  <si>
    <t>Roosevelt Way Ne &amp; Ne 65th St</t>
  </si>
  <si>
    <t>Roosevelt Way Ne &amp; Ne Ravenna Blvd</t>
  </si>
  <si>
    <t>Roosevelt Way Ne &amp; Ne 55th St</t>
  </si>
  <si>
    <t>Roosevelt Way Ne &amp; Ne 50th St</t>
  </si>
  <si>
    <t>Roosevelt Way Ne &amp; Ne 45th St</t>
  </si>
  <si>
    <t>Ne Campus Pkwy &amp; 12th Ave Ne</t>
  </si>
  <si>
    <t>Ne 40th St &amp; 7th Ave Ne</t>
  </si>
  <si>
    <t>N 40th St &amp; Wallingford Ave N</t>
  </si>
  <si>
    <t>Wallingford Ave N &amp; N 37th St</t>
  </si>
  <si>
    <t>N 35th St &amp; Wallingford Ave N</t>
  </si>
  <si>
    <t>N 35th St &amp; Woodlawn Ave N</t>
  </si>
  <si>
    <t>N 35th St &amp; Stone Way N</t>
  </si>
  <si>
    <t>N 35th St &amp; Troll Ave N</t>
  </si>
  <si>
    <t>Fremont Ave N &amp; N 34th St</t>
  </si>
  <si>
    <t>Nickerson St &amp; 3rd Ave N</t>
  </si>
  <si>
    <t>W Nickerson St &amp; 3rd Ave W</t>
  </si>
  <si>
    <t>W Nickerson St &amp; Jesse Ave W</t>
  </si>
  <si>
    <t>15th Ave W &amp; W Dravus St</t>
  </si>
  <si>
    <t>15th Ave W &amp; W Armour St</t>
  </si>
  <si>
    <t>15th Ave W &amp; W Armory Way</t>
  </si>
  <si>
    <t>Elliott Ave W &amp; W Galer St</t>
  </si>
  <si>
    <t>W Mercer St &amp; 3rd Ave W</t>
  </si>
  <si>
    <t>Queen Anne Ave N &amp; W Mercer St</t>
  </si>
  <si>
    <t>Queen Anne Ave N &amp; W Harrison St</t>
  </si>
  <si>
    <t>Route 32 to Seattle Center Fremont</t>
  </si>
  <si>
    <t>Route 67 to Northgate TC</t>
  </si>
  <si>
    <t>Route 32 to University District Fremont</t>
  </si>
  <si>
    <t>1st Ave N &amp; Republican St</t>
  </si>
  <si>
    <t>Mercer St &amp; Queen Anne Ave N</t>
  </si>
  <si>
    <t xml:space="preserve">Elliott Ave W &amp; W Prospect St </t>
  </si>
  <si>
    <t>15th Ave W &amp; W Newton St</t>
  </si>
  <si>
    <t>W Nickerson St &amp; 12th Ave W</t>
  </si>
  <si>
    <t>W Nickerson St &amp; Queen Anne Ave N</t>
  </si>
  <si>
    <t>N 35th St &amp; Carr Pl N</t>
  </si>
  <si>
    <t>Wallingford Ave N &amp; N 35th St</t>
  </si>
  <si>
    <t>N 40th St &amp; Bagley Ave N</t>
  </si>
  <si>
    <t>Ne 40th St &amp; 1st Ave Ne</t>
  </si>
  <si>
    <t>Ne Northlake Way &amp; 7th Ave Ne</t>
  </si>
  <si>
    <t>Ne Pacific St &amp; Ne Boat St</t>
  </si>
  <si>
    <t>Thursday</t>
  </si>
  <si>
    <t>Friday</t>
  </si>
  <si>
    <t>Date</t>
  </si>
  <si>
    <t>Route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</si>
</sst>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292A30"/>
      <name val="Calibri"/>
      <family val="2"/>
      <scheme val="minor"/>
    </font>
    <font>
      <sz val="12"/>
      <color rgb="FF292A30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21" fontId="0" fillId="0" borderId="0" xfId="0" applyNumberFormat="1"/>
    <xf numFmtId="19" fontId="0" fillId="0" borderId="0" xfId="0" applyNumberFormat="1"/>
    <xf numFmtId="0" fontId="0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47B1-8B1A-9D43-88A9-7F589984B0EF}">
  <sheetPr codeName="Sheet1"/>
  <dimension ref="A1:H162"/>
  <sheetViews>
    <sheetView tabSelected="1" topLeftCell="A45" workbookViewId="0">
      <selection activeCell="A39" sqref="A39"/>
    </sheetView>
  </sheetViews>
  <sheetFormatPr baseColWidth="10" defaultRowHeight="16" x14ac:dyDescent="0.2"/>
  <cols>
    <col min="1" max="1" width="33.83203125" bestFit="1" customWidth="1"/>
    <col min="2" max="2" width="35.5" bestFit="1" customWidth="1"/>
    <col min="5" max="5" width="11.5" bestFit="1" customWidth="1"/>
    <col min="6" max="6" width="11.83203125" bestFit="1" customWidth="1"/>
    <col min="7" max="7" width="11.5" bestFit="1" customWidth="1"/>
    <col min="8" max="8" width="13" bestFit="1" customWidth="1"/>
  </cols>
  <sheetData>
    <row r="1" spans="1:8" x14ac:dyDescent="0.2">
      <c r="B1" t="s">
        <v>5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135</v>
      </c>
    </row>
    <row r="2" spans="1:8" x14ac:dyDescent="0.2">
      <c r="A2" t="s">
        <v>39</v>
      </c>
      <c r="B2" t="s">
        <v>6</v>
      </c>
      <c r="C2">
        <v>1</v>
      </c>
      <c r="D2">
        <v>2</v>
      </c>
      <c r="E2">
        <v>0</v>
      </c>
      <c r="F2" s="1">
        <v>0.59745370370370365</v>
      </c>
      <c r="G2">
        <f>SUM(D2-E2)</f>
        <v>2</v>
      </c>
      <c r="H2" s="8">
        <v>43408</v>
      </c>
    </row>
    <row r="3" spans="1:8" x14ac:dyDescent="0.2">
      <c r="B3" t="s">
        <v>7</v>
      </c>
      <c r="C3">
        <v>2</v>
      </c>
      <c r="D3">
        <v>2</v>
      </c>
      <c r="E3">
        <v>0</v>
      </c>
      <c r="F3" s="2">
        <v>0.59886574074074073</v>
      </c>
      <c r="G3">
        <f>SUM(G2+D3-E3)</f>
        <v>4</v>
      </c>
      <c r="H3" s="8">
        <v>43408</v>
      </c>
    </row>
    <row r="4" spans="1:8" x14ac:dyDescent="0.2">
      <c r="B4" t="s">
        <v>8</v>
      </c>
      <c r="C4">
        <v>5</v>
      </c>
      <c r="D4">
        <v>0</v>
      </c>
      <c r="E4">
        <v>2</v>
      </c>
      <c r="F4" s="2">
        <v>0.60062499999999996</v>
      </c>
      <c r="G4">
        <f t="shared" ref="G4:G9" si="0">SUM(G3+D4-E4)</f>
        <v>2</v>
      </c>
      <c r="H4" s="8">
        <v>43408</v>
      </c>
    </row>
    <row r="5" spans="1:8" x14ac:dyDescent="0.2">
      <c r="B5" t="s">
        <v>11</v>
      </c>
      <c r="C5">
        <v>11</v>
      </c>
      <c r="D5">
        <v>1</v>
      </c>
      <c r="E5">
        <v>0</v>
      </c>
      <c r="F5" s="2">
        <v>0.60450231481481487</v>
      </c>
      <c r="G5">
        <f t="shared" si="0"/>
        <v>3</v>
      </c>
      <c r="H5" s="8">
        <v>43408</v>
      </c>
    </row>
    <row r="6" spans="1:8" x14ac:dyDescent="0.2">
      <c r="B6" t="s">
        <v>12</v>
      </c>
      <c r="C6">
        <v>12</v>
      </c>
      <c r="D6">
        <v>0</v>
      </c>
      <c r="E6">
        <v>1</v>
      </c>
      <c r="F6" s="2">
        <v>0.60631944444444441</v>
      </c>
      <c r="G6">
        <f t="shared" si="0"/>
        <v>2</v>
      </c>
      <c r="H6" s="8">
        <v>43408</v>
      </c>
    </row>
    <row r="7" spans="1:8" x14ac:dyDescent="0.2">
      <c r="B7" t="s">
        <v>13</v>
      </c>
      <c r="C7">
        <v>13</v>
      </c>
      <c r="D7">
        <v>1</v>
      </c>
      <c r="E7">
        <v>0</v>
      </c>
      <c r="F7" s="2">
        <v>0.60717592592592595</v>
      </c>
      <c r="G7">
        <f t="shared" si="0"/>
        <v>3</v>
      </c>
      <c r="H7" s="8">
        <v>43408</v>
      </c>
    </row>
    <row r="8" spans="1:8" x14ac:dyDescent="0.2">
      <c r="B8" t="s">
        <v>14</v>
      </c>
      <c r="C8">
        <v>14</v>
      </c>
      <c r="D8">
        <v>1</v>
      </c>
      <c r="E8">
        <v>0</v>
      </c>
      <c r="F8" s="2">
        <v>0.60857638888888888</v>
      </c>
      <c r="G8">
        <f t="shared" si="0"/>
        <v>4</v>
      </c>
      <c r="H8" s="8">
        <v>43408</v>
      </c>
    </row>
    <row r="9" spans="1:8" x14ac:dyDescent="0.2">
      <c r="B9" t="s">
        <v>15</v>
      </c>
      <c r="C9">
        <v>17</v>
      </c>
      <c r="D9">
        <v>1</v>
      </c>
      <c r="E9">
        <v>1</v>
      </c>
      <c r="F9" s="2">
        <v>0.61091435185185183</v>
      </c>
      <c r="G9">
        <f t="shared" si="0"/>
        <v>4</v>
      </c>
      <c r="H9" s="8">
        <v>43408</v>
      </c>
    </row>
    <row r="11" spans="1:8" x14ac:dyDescent="0.2">
      <c r="A11" t="s">
        <v>16</v>
      </c>
      <c r="B11" t="s">
        <v>17</v>
      </c>
      <c r="C11">
        <v>1</v>
      </c>
      <c r="D11">
        <v>4</v>
      </c>
      <c r="E11">
        <v>0</v>
      </c>
      <c r="F11" s="2">
        <v>0.62864583333333335</v>
      </c>
      <c r="G11">
        <v>10</v>
      </c>
      <c r="H11" s="8">
        <v>43408</v>
      </c>
    </row>
    <row r="12" spans="1:8" x14ac:dyDescent="0.2">
      <c r="B12" t="s">
        <v>18</v>
      </c>
      <c r="C12">
        <v>2</v>
      </c>
      <c r="D12">
        <v>2</v>
      </c>
      <c r="E12">
        <v>0</v>
      </c>
      <c r="F12" s="2">
        <v>0.62939814814814821</v>
      </c>
      <c r="G12">
        <f>SUM(G11+D12-E12)</f>
        <v>12</v>
      </c>
      <c r="H12" s="8">
        <v>43408</v>
      </c>
    </row>
    <row r="13" spans="1:8" x14ac:dyDescent="0.2">
      <c r="B13" t="s">
        <v>19</v>
      </c>
      <c r="C13">
        <v>3</v>
      </c>
      <c r="D13">
        <v>1</v>
      </c>
      <c r="E13">
        <v>0</v>
      </c>
      <c r="F13" s="2">
        <v>0.63091435185185185</v>
      </c>
      <c r="G13">
        <f t="shared" ref="G13:G37" si="1">SUM(G12+D13-E13)</f>
        <v>13</v>
      </c>
      <c r="H13" s="8">
        <v>43408</v>
      </c>
    </row>
    <row r="14" spans="1:8" x14ac:dyDescent="0.2">
      <c r="B14" t="s">
        <v>20</v>
      </c>
      <c r="C14">
        <v>4</v>
      </c>
      <c r="D14">
        <v>14</v>
      </c>
      <c r="E14">
        <v>2</v>
      </c>
      <c r="F14" s="2">
        <v>0.63209490740740748</v>
      </c>
      <c r="G14">
        <f t="shared" si="1"/>
        <v>25</v>
      </c>
      <c r="H14" s="8">
        <v>43408</v>
      </c>
    </row>
    <row r="15" spans="1:8" x14ac:dyDescent="0.2">
      <c r="B15" t="s">
        <v>21</v>
      </c>
      <c r="C15">
        <v>5</v>
      </c>
      <c r="D15">
        <v>1</v>
      </c>
      <c r="E15">
        <v>4</v>
      </c>
      <c r="F15" s="2">
        <v>0.63487268518518525</v>
      </c>
      <c r="G15">
        <f t="shared" si="1"/>
        <v>22</v>
      </c>
      <c r="H15" s="8">
        <v>43408</v>
      </c>
    </row>
    <row r="16" spans="1:8" x14ac:dyDescent="0.2">
      <c r="B16" t="s">
        <v>22</v>
      </c>
      <c r="C16">
        <v>6</v>
      </c>
      <c r="D16">
        <v>1</v>
      </c>
      <c r="E16">
        <v>0</v>
      </c>
      <c r="F16" s="2">
        <v>0.63552083333333331</v>
      </c>
      <c r="G16">
        <f t="shared" si="1"/>
        <v>23</v>
      </c>
      <c r="H16" s="8">
        <v>43408</v>
      </c>
    </row>
    <row r="17" spans="2:8" x14ac:dyDescent="0.2">
      <c r="B17" t="s">
        <v>23</v>
      </c>
      <c r="C17">
        <v>7</v>
      </c>
      <c r="D17">
        <v>0</v>
      </c>
      <c r="E17">
        <v>4</v>
      </c>
      <c r="F17" s="2">
        <v>0.63609953703703703</v>
      </c>
      <c r="G17">
        <f t="shared" si="1"/>
        <v>19</v>
      </c>
      <c r="H17" s="8">
        <v>43408</v>
      </c>
    </row>
    <row r="18" spans="2:8" x14ac:dyDescent="0.2">
      <c r="B18" t="s">
        <v>24</v>
      </c>
      <c r="C18">
        <v>8</v>
      </c>
      <c r="D18">
        <v>1</v>
      </c>
      <c r="E18">
        <v>0</v>
      </c>
      <c r="F18" s="2">
        <v>0.63750000000000007</v>
      </c>
      <c r="G18">
        <f t="shared" si="1"/>
        <v>20</v>
      </c>
      <c r="H18" s="8">
        <v>43408</v>
      </c>
    </row>
    <row r="19" spans="2:8" x14ac:dyDescent="0.2">
      <c r="B19" t="s">
        <v>25</v>
      </c>
      <c r="C19">
        <v>9</v>
      </c>
      <c r="D19">
        <v>3</v>
      </c>
      <c r="E19">
        <v>2</v>
      </c>
      <c r="F19" s="2">
        <v>0.6404050925925926</v>
      </c>
      <c r="G19">
        <f t="shared" si="1"/>
        <v>21</v>
      </c>
      <c r="H19" s="8">
        <v>43408</v>
      </c>
    </row>
    <row r="20" spans="2:8" x14ac:dyDescent="0.2">
      <c r="B20" t="s">
        <v>26</v>
      </c>
      <c r="C20">
        <v>10</v>
      </c>
      <c r="D20">
        <v>5</v>
      </c>
      <c r="E20">
        <v>4</v>
      </c>
      <c r="F20" s="2">
        <v>0.64203703703703707</v>
      </c>
      <c r="G20">
        <f t="shared" si="1"/>
        <v>22</v>
      </c>
      <c r="H20" s="8">
        <v>43408</v>
      </c>
    </row>
    <row r="21" spans="2:8" x14ac:dyDescent="0.2">
      <c r="B21" t="s">
        <v>20</v>
      </c>
      <c r="C21">
        <v>11</v>
      </c>
      <c r="D21">
        <v>7</v>
      </c>
      <c r="E21">
        <v>1</v>
      </c>
      <c r="F21" s="2">
        <v>0.64348379629629626</v>
      </c>
      <c r="G21">
        <f t="shared" si="1"/>
        <v>28</v>
      </c>
      <c r="H21" s="8">
        <v>43408</v>
      </c>
    </row>
    <row r="22" spans="2:8" x14ac:dyDescent="0.2">
      <c r="B22" t="s">
        <v>27</v>
      </c>
      <c r="C22">
        <v>12</v>
      </c>
      <c r="D22">
        <v>5</v>
      </c>
      <c r="E22">
        <v>2</v>
      </c>
      <c r="F22" s="2">
        <v>0.6441782407407407</v>
      </c>
      <c r="G22">
        <f t="shared" si="1"/>
        <v>31</v>
      </c>
      <c r="H22" s="8">
        <v>43408</v>
      </c>
    </row>
    <row r="23" spans="2:8" x14ac:dyDescent="0.2">
      <c r="B23" t="s">
        <v>28</v>
      </c>
      <c r="C23">
        <v>13</v>
      </c>
      <c r="D23">
        <v>1</v>
      </c>
      <c r="E23">
        <v>0</v>
      </c>
      <c r="F23" s="2">
        <v>0.64476851851851846</v>
      </c>
      <c r="G23">
        <f t="shared" si="1"/>
        <v>32</v>
      </c>
      <c r="H23" s="8">
        <v>43408</v>
      </c>
    </row>
    <row r="24" spans="2:8" x14ac:dyDescent="0.2">
      <c r="B24" t="s">
        <v>29</v>
      </c>
      <c r="C24">
        <v>14</v>
      </c>
      <c r="D24">
        <v>0</v>
      </c>
      <c r="E24">
        <v>1</v>
      </c>
      <c r="F24" s="2">
        <v>0.64542824074074068</v>
      </c>
      <c r="G24">
        <f t="shared" si="1"/>
        <v>31</v>
      </c>
      <c r="H24" s="8">
        <v>43408</v>
      </c>
    </row>
    <row r="25" spans="2:8" x14ac:dyDescent="0.2">
      <c r="B25" t="s">
        <v>30</v>
      </c>
      <c r="C25">
        <v>16</v>
      </c>
      <c r="D25">
        <v>1</v>
      </c>
      <c r="E25">
        <v>0</v>
      </c>
      <c r="F25" s="2">
        <v>0.64613425925925927</v>
      </c>
      <c r="G25">
        <f t="shared" si="1"/>
        <v>32</v>
      </c>
      <c r="H25" s="8">
        <v>43408</v>
      </c>
    </row>
    <row r="26" spans="2:8" x14ac:dyDescent="0.2">
      <c r="B26" t="s">
        <v>31</v>
      </c>
      <c r="C26">
        <v>17</v>
      </c>
      <c r="D26">
        <v>0</v>
      </c>
      <c r="E26">
        <v>1</v>
      </c>
      <c r="F26" s="2">
        <v>0.64652777777777781</v>
      </c>
      <c r="G26">
        <f t="shared" si="1"/>
        <v>31</v>
      </c>
      <c r="H26" s="8">
        <v>43408</v>
      </c>
    </row>
    <row r="27" spans="2:8" x14ac:dyDescent="0.2">
      <c r="B27" t="s">
        <v>14</v>
      </c>
      <c r="C27">
        <v>18</v>
      </c>
      <c r="D27">
        <v>2</v>
      </c>
      <c r="E27">
        <v>6</v>
      </c>
      <c r="F27" s="2">
        <v>0.6479166666666667</v>
      </c>
      <c r="G27">
        <f t="shared" si="1"/>
        <v>27</v>
      </c>
      <c r="H27" s="8">
        <v>43408</v>
      </c>
    </row>
    <row r="28" spans="2:8" x14ac:dyDescent="0.2">
      <c r="B28" t="s">
        <v>32</v>
      </c>
      <c r="C28">
        <v>19</v>
      </c>
      <c r="D28">
        <v>0</v>
      </c>
      <c r="E28">
        <v>2</v>
      </c>
      <c r="F28" s="2">
        <v>0.6486574074074074</v>
      </c>
      <c r="G28">
        <f t="shared" si="1"/>
        <v>25</v>
      </c>
      <c r="H28" s="8">
        <v>43408</v>
      </c>
    </row>
    <row r="29" spans="2:8" x14ac:dyDescent="0.2">
      <c r="B29" t="s">
        <v>10</v>
      </c>
      <c r="C29">
        <v>22</v>
      </c>
      <c r="D29">
        <v>3</v>
      </c>
      <c r="E29">
        <v>0</v>
      </c>
      <c r="F29" s="2">
        <v>0.65081018518518519</v>
      </c>
      <c r="G29">
        <f t="shared" si="1"/>
        <v>28</v>
      </c>
      <c r="H29" s="8">
        <v>43408</v>
      </c>
    </row>
    <row r="30" spans="2:8" x14ac:dyDescent="0.2">
      <c r="B30" t="s">
        <v>9</v>
      </c>
      <c r="C30">
        <v>23</v>
      </c>
      <c r="D30">
        <v>0</v>
      </c>
      <c r="E30">
        <v>2</v>
      </c>
      <c r="F30" s="2">
        <v>0.65155092592592589</v>
      </c>
      <c r="G30">
        <f t="shared" si="1"/>
        <v>26</v>
      </c>
      <c r="H30" s="8">
        <v>43408</v>
      </c>
    </row>
    <row r="31" spans="2:8" x14ac:dyDescent="0.2">
      <c r="B31" t="s">
        <v>33</v>
      </c>
      <c r="C31">
        <v>24</v>
      </c>
      <c r="D31">
        <v>1</v>
      </c>
      <c r="E31">
        <v>0</v>
      </c>
      <c r="F31" s="2">
        <v>0.65202546296296293</v>
      </c>
      <c r="G31">
        <f t="shared" si="1"/>
        <v>27</v>
      </c>
      <c r="H31" s="8">
        <v>43408</v>
      </c>
    </row>
    <row r="32" spans="2:8" x14ac:dyDescent="0.2">
      <c r="B32" t="s">
        <v>34</v>
      </c>
      <c r="C32">
        <v>26</v>
      </c>
      <c r="D32">
        <v>0</v>
      </c>
      <c r="E32">
        <v>2</v>
      </c>
      <c r="F32" s="2">
        <v>0.65317129629629633</v>
      </c>
      <c r="G32">
        <f t="shared" si="1"/>
        <v>25</v>
      </c>
      <c r="H32" s="8">
        <v>43408</v>
      </c>
    </row>
    <row r="33" spans="1:8" x14ac:dyDescent="0.2">
      <c r="B33" t="s">
        <v>35</v>
      </c>
      <c r="C33">
        <v>29</v>
      </c>
      <c r="D33">
        <v>2</v>
      </c>
      <c r="E33">
        <v>3</v>
      </c>
      <c r="F33" s="2">
        <v>0.65476851851851847</v>
      </c>
      <c r="G33">
        <f t="shared" si="1"/>
        <v>24</v>
      </c>
      <c r="H33" s="8">
        <v>43408</v>
      </c>
    </row>
    <row r="34" spans="1:8" x14ac:dyDescent="0.2">
      <c r="B34" t="s">
        <v>36</v>
      </c>
      <c r="C34">
        <v>30</v>
      </c>
      <c r="D34">
        <v>1</v>
      </c>
      <c r="E34">
        <v>12</v>
      </c>
      <c r="F34" s="2">
        <v>0.65593749999999995</v>
      </c>
      <c r="G34">
        <f t="shared" si="1"/>
        <v>13</v>
      </c>
      <c r="H34" s="8">
        <v>43408</v>
      </c>
    </row>
    <row r="35" spans="1:8" x14ac:dyDescent="0.2">
      <c r="B35" t="s">
        <v>37</v>
      </c>
      <c r="C35">
        <v>31</v>
      </c>
      <c r="D35">
        <v>0</v>
      </c>
      <c r="E35">
        <v>1</v>
      </c>
      <c r="F35" s="2">
        <v>0.65652777777777771</v>
      </c>
      <c r="G35">
        <f t="shared" si="1"/>
        <v>12</v>
      </c>
      <c r="H35" s="8">
        <v>43408</v>
      </c>
    </row>
    <row r="36" spans="1:8" x14ac:dyDescent="0.2">
      <c r="B36" t="s">
        <v>38</v>
      </c>
      <c r="C36">
        <v>32</v>
      </c>
      <c r="D36">
        <v>0</v>
      </c>
      <c r="E36">
        <v>2</v>
      </c>
      <c r="F36" s="2">
        <v>0.65697916666666667</v>
      </c>
      <c r="G36">
        <f t="shared" si="1"/>
        <v>10</v>
      </c>
      <c r="H36" s="8">
        <v>43408</v>
      </c>
    </row>
    <row r="37" spans="1:8" x14ac:dyDescent="0.2">
      <c r="B37" t="s">
        <v>6</v>
      </c>
      <c r="C37">
        <v>33</v>
      </c>
      <c r="D37">
        <v>0</v>
      </c>
      <c r="E37">
        <v>10</v>
      </c>
      <c r="F37" s="2">
        <v>0.65793981481481478</v>
      </c>
      <c r="G37">
        <f t="shared" si="1"/>
        <v>0</v>
      </c>
      <c r="H37" s="8">
        <v>43408</v>
      </c>
    </row>
    <row r="38" spans="1:8" x14ac:dyDescent="0.2">
      <c r="F38" s="2"/>
      <c r="H38" s="8"/>
    </row>
    <row r="39" spans="1:8" x14ac:dyDescent="0.2">
      <c r="A39" t="s">
        <v>136</v>
      </c>
    </row>
    <row r="40" spans="1:8" x14ac:dyDescent="0.2">
      <c r="A40" t="s">
        <v>40</v>
      </c>
      <c r="B40" t="s">
        <v>41</v>
      </c>
      <c r="C40">
        <v>1</v>
      </c>
      <c r="D40">
        <v>2</v>
      </c>
      <c r="E40">
        <v>0</v>
      </c>
      <c r="F40" s="2">
        <v>0.70528935185185182</v>
      </c>
      <c r="G40">
        <v>2</v>
      </c>
      <c r="H40" s="8">
        <v>43408</v>
      </c>
    </row>
    <row r="41" spans="1:8" x14ac:dyDescent="0.2">
      <c r="B41" t="s">
        <v>42</v>
      </c>
      <c r="C41">
        <v>3</v>
      </c>
      <c r="D41">
        <v>1</v>
      </c>
      <c r="E41">
        <v>0</v>
      </c>
      <c r="F41" s="2">
        <v>0.70649305555555564</v>
      </c>
      <c r="G41">
        <f>G40+D41-E41</f>
        <v>3</v>
      </c>
      <c r="H41" s="8">
        <v>43408</v>
      </c>
    </row>
    <row r="42" spans="1:8" x14ac:dyDescent="0.2">
      <c r="B42" t="s">
        <v>43</v>
      </c>
      <c r="C42">
        <v>4</v>
      </c>
      <c r="D42">
        <v>2</v>
      </c>
      <c r="E42">
        <v>0</v>
      </c>
      <c r="F42" s="2">
        <v>0.70762731481481478</v>
      </c>
      <c r="G42">
        <f t="shared" ref="G42:G44" si="2">SUM(G41+D42-E42)</f>
        <v>5</v>
      </c>
      <c r="H42" s="8">
        <v>43408</v>
      </c>
    </row>
    <row r="43" spans="1:8" x14ac:dyDescent="0.2">
      <c r="B43" t="s">
        <v>44</v>
      </c>
      <c r="C43">
        <v>5</v>
      </c>
      <c r="D43">
        <v>2</v>
      </c>
      <c r="E43">
        <v>0</v>
      </c>
      <c r="F43" s="2">
        <v>0.70826388888888892</v>
      </c>
      <c r="G43">
        <f t="shared" si="2"/>
        <v>7</v>
      </c>
      <c r="H43" s="8">
        <v>43408</v>
      </c>
    </row>
    <row r="44" spans="1:8" x14ac:dyDescent="0.2">
      <c r="B44" t="s">
        <v>45</v>
      </c>
      <c r="C44">
        <v>6</v>
      </c>
      <c r="D44">
        <v>1</v>
      </c>
      <c r="E44">
        <v>0</v>
      </c>
      <c r="F44" s="2">
        <v>0.70893518518518517</v>
      </c>
      <c r="G44">
        <f t="shared" si="2"/>
        <v>8</v>
      </c>
      <c r="H44" s="8">
        <v>43408</v>
      </c>
    </row>
    <row r="45" spans="1:8" x14ac:dyDescent="0.2">
      <c r="B45" t="s">
        <v>46</v>
      </c>
      <c r="C45">
        <v>11</v>
      </c>
      <c r="D45">
        <v>0</v>
      </c>
      <c r="E45">
        <v>2</v>
      </c>
      <c r="F45" s="2">
        <v>0.71210648148148159</v>
      </c>
      <c r="G45">
        <f t="shared" ref="G45:G51" si="3">G44+D45-E45</f>
        <v>6</v>
      </c>
      <c r="H45" s="8">
        <v>43408</v>
      </c>
    </row>
    <row r="46" spans="1:8" x14ac:dyDescent="0.2">
      <c r="B46" t="s">
        <v>47</v>
      </c>
      <c r="C46">
        <v>14</v>
      </c>
      <c r="D46">
        <v>4</v>
      </c>
      <c r="E46">
        <v>0</v>
      </c>
      <c r="F46" s="2">
        <v>0.71347222222222229</v>
      </c>
      <c r="G46">
        <f t="shared" si="3"/>
        <v>10</v>
      </c>
      <c r="H46" s="8">
        <v>43408</v>
      </c>
    </row>
    <row r="47" spans="1:8" x14ac:dyDescent="0.2">
      <c r="B47" t="s">
        <v>48</v>
      </c>
      <c r="C47">
        <v>17</v>
      </c>
      <c r="D47">
        <v>0</v>
      </c>
      <c r="E47">
        <v>1</v>
      </c>
      <c r="F47" s="2">
        <v>0.7144907407407407</v>
      </c>
      <c r="G47">
        <f t="shared" si="3"/>
        <v>9</v>
      </c>
      <c r="H47" s="8">
        <v>43408</v>
      </c>
    </row>
    <row r="48" spans="1:8" x14ac:dyDescent="0.2">
      <c r="B48" t="s">
        <v>52</v>
      </c>
      <c r="C48">
        <v>18</v>
      </c>
      <c r="D48">
        <v>9</v>
      </c>
      <c r="E48">
        <v>2</v>
      </c>
      <c r="F48" s="2">
        <v>0.71626157407407398</v>
      </c>
      <c r="G48">
        <f t="shared" si="3"/>
        <v>16</v>
      </c>
      <c r="H48" s="8">
        <v>43408</v>
      </c>
    </row>
    <row r="49" spans="1:8" x14ac:dyDescent="0.2">
      <c r="B49" t="s">
        <v>49</v>
      </c>
      <c r="C49">
        <v>19</v>
      </c>
      <c r="D49">
        <v>1</v>
      </c>
      <c r="E49">
        <v>0</v>
      </c>
      <c r="F49" s="2">
        <v>0.71765046296296298</v>
      </c>
      <c r="G49">
        <f t="shared" si="3"/>
        <v>17</v>
      </c>
      <c r="H49" s="8">
        <v>43408</v>
      </c>
    </row>
    <row r="50" spans="1:8" x14ac:dyDescent="0.2">
      <c r="B50" t="s">
        <v>50</v>
      </c>
      <c r="C50">
        <v>22</v>
      </c>
      <c r="D50">
        <v>3</v>
      </c>
      <c r="E50">
        <v>1</v>
      </c>
      <c r="F50" s="2">
        <v>0.71975694444444438</v>
      </c>
      <c r="G50">
        <f t="shared" si="3"/>
        <v>19</v>
      </c>
      <c r="H50" s="8">
        <v>43408</v>
      </c>
    </row>
    <row r="51" spans="1:8" x14ac:dyDescent="0.2">
      <c r="B51" t="s">
        <v>51</v>
      </c>
      <c r="C51">
        <v>28</v>
      </c>
      <c r="D51">
        <v>0</v>
      </c>
      <c r="E51">
        <v>1</v>
      </c>
      <c r="F51" s="2">
        <v>0.72357638888888898</v>
      </c>
      <c r="G51">
        <f t="shared" si="3"/>
        <v>18</v>
      </c>
      <c r="H51" s="8">
        <v>43408</v>
      </c>
    </row>
    <row r="53" spans="1:8" x14ac:dyDescent="0.2">
      <c r="A53" t="s">
        <v>119</v>
      </c>
      <c r="B53" t="s">
        <v>53</v>
      </c>
      <c r="C53">
        <v>1</v>
      </c>
      <c r="D53">
        <v>3</v>
      </c>
      <c r="E53" s="7">
        <v>0</v>
      </c>
      <c r="F53" s="3">
        <v>0.61655092592592597</v>
      </c>
      <c r="G53">
        <v>9</v>
      </c>
      <c r="H53" s="8">
        <v>43412</v>
      </c>
    </row>
    <row r="54" spans="1:8" x14ac:dyDescent="0.2">
      <c r="A54" t="s">
        <v>133</v>
      </c>
      <c r="B54" t="s">
        <v>54</v>
      </c>
      <c r="C54">
        <v>2</v>
      </c>
      <c r="D54">
        <v>1</v>
      </c>
      <c r="E54">
        <v>0</v>
      </c>
      <c r="F54" s="3">
        <v>0.6171875</v>
      </c>
      <c r="G54">
        <f>SUM(G53+D54-E54)</f>
        <v>10</v>
      </c>
      <c r="H54" s="8">
        <v>43412</v>
      </c>
    </row>
    <row r="55" spans="1:8" x14ac:dyDescent="0.2">
      <c r="B55" t="s">
        <v>55</v>
      </c>
      <c r="C55">
        <v>3</v>
      </c>
      <c r="D55">
        <v>2</v>
      </c>
      <c r="E55">
        <v>0</v>
      </c>
      <c r="F55" s="3">
        <v>0.61951388888888892</v>
      </c>
      <c r="G55">
        <f t="shared" ref="G55:G118" si="4">SUM(G54+D55-E55)</f>
        <v>12</v>
      </c>
      <c r="H55" s="8">
        <v>43412</v>
      </c>
    </row>
    <row r="56" spans="1:8" x14ac:dyDescent="0.2">
      <c r="B56" t="s">
        <v>56</v>
      </c>
      <c r="C56">
        <v>4</v>
      </c>
      <c r="D56">
        <v>10</v>
      </c>
      <c r="E56">
        <v>1</v>
      </c>
      <c r="F56" s="3">
        <v>0.61997685185185192</v>
      </c>
      <c r="G56">
        <f t="shared" si="4"/>
        <v>21</v>
      </c>
      <c r="H56" s="8">
        <v>43412</v>
      </c>
    </row>
    <row r="57" spans="1:8" x14ac:dyDescent="0.2">
      <c r="B57" t="s">
        <v>57</v>
      </c>
      <c r="C57">
        <v>5</v>
      </c>
      <c r="D57">
        <v>6</v>
      </c>
      <c r="E57">
        <v>4</v>
      </c>
      <c r="F57" s="3">
        <v>0.6227314814814815</v>
      </c>
      <c r="G57">
        <f t="shared" si="4"/>
        <v>23</v>
      </c>
      <c r="H57" s="8">
        <v>43412</v>
      </c>
    </row>
    <row r="58" spans="1:8" x14ac:dyDescent="0.2">
      <c r="B58" t="s">
        <v>58</v>
      </c>
      <c r="C58">
        <v>6</v>
      </c>
      <c r="D58">
        <v>2</v>
      </c>
      <c r="E58">
        <v>1</v>
      </c>
      <c r="F58" s="3">
        <v>0.62349537037037039</v>
      </c>
      <c r="G58">
        <f t="shared" si="4"/>
        <v>24</v>
      </c>
      <c r="H58" s="8">
        <v>43412</v>
      </c>
    </row>
    <row r="59" spans="1:8" x14ac:dyDescent="0.2">
      <c r="B59" t="s">
        <v>59</v>
      </c>
      <c r="C59">
        <v>7</v>
      </c>
      <c r="D59">
        <v>5</v>
      </c>
      <c r="E59">
        <v>6</v>
      </c>
      <c r="F59" s="3">
        <v>0.62429398148148152</v>
      </c>
      <c r="G59">
        <f t="shared" si="4"/>
        <v>23</v>
      </c>
      <c r="H59" s="8">
        <v>43412</v>
      </c>
    </row>
    <row r="60" spans="1:8" x14ac:dyDescent="0.2">
      <c r="B60" t="s">
        <v>60</v>
      </c>
      <c r="C60">
        <v>8</v>
      </c>
      <c r="D60">
        <v>5</v>
      </c>
      <c r="E60">
        <v>1</v>
      </c>
      <c r="F60" s="3">
        <v>0.62513888888888891</v>
      </c>
      <c r="G60">
        <f t="shared" si="4"/>
        <v>27</v>
      </c>
      <c r="H60" s="8">
        <v>43412</v>
      </c>
    </row>
    <row r="61" spans="1:8" x14ac:dyDescent="0.2">
      <c r="B61" t="s">
        <v>61</v>
      </c>
      <c r="C61">
        <v>9</v>
      </c>
      <c r="D61">
        <v>4</v>
      </c>
      <c r="E61">
        <v>3</v>
      </c>
      <c r="F61" s="3">
        <v>0.62627314814814816</v>
      </c>
      <c r="G61">
        <f t="shared" si="4"/>
        <v>28</v>
      </c>
      <c r="H61" s="8">
        <v>43412</v>
      </c>
    </row>
    <row r="62" spans="1:8" x14ac:dyDescent="0.2">
      <c r="B62" t="s">
        <v>62</v>
      </c>
      <c r="C62">
        <v>10</v>
      </c>
      <c r="D62">
        <v>6</v>
      </c>
      <c r="E62">
        <v>5</v>
      </c>
      <c r="F62" s="3">
        <v>0.62869212962962961</v>
      </c>
      <c r="G62">
        <f t="shared" si="4"/>
        <v>29</v>
      </c>
      <c r="H62" s="8">
        <v>43412</v>
      </c>
    </row>
    <row r="63" spans="1:8" x14ac:dyDescent="0.2">
      <c r="B63" t="s">
        <v>63</v>
      </c>
      <c r="C63">
        <v>11</v>
      </c>
      <c r="D63">
        <v>3</v>
      </c>
      <c r="E63">
        <v>2</v>
      </c>
      <c r="F63" s="3">
        <v>0.6303009259259259</v>
      </c>
      <c r="G63">
        <f t="shared" si="4"/>
        <v>30</v>
      </c>
      <c r="H63" s="8">
        <v>43412</v>
      </c>
    </row>
    <row r="64" spans="1:8" x14ac:dyDescent="0.2">
      <c r="B64" t="s">
        <v>64</v>
      </c>
      <c r="C64">
        <v>12</v>
      </c>
      <c r="D64">
        <v>7</v>
      </c>
      <c r="E64">
        <v>1</v>
      </c>
      <c r="F64" s="3">
        <v>0.63166666666666671</v>
      </c>
      <c r="G64">
        <f t="shared" si="4"/>
        <v>36</v>
      </c>
      <c r="H64" s="8">
        <v>43412</v>
      </c>
    </row>
    <row r="65" spans="2:8" x14ac:dyDescent="0.2">
      <c r="B65" t="s">
        <v>65</v>
      </c>
      <c r="C65">
        <v>13</v>
      </c>
      <c r="D65">
        <v>3</v>
      </c>
      <c r="E65">
        <v>0</v>
      </c>
      <c r="F65" s="3">
        <v>0.63222222222222224</v>
      </c>
      <c r="G65">
        <f t="shared" si="4"/>
        <v>39</v>
      </c>
      <c r="H65" s="8">
        <v>43412</v>
      </c>
    </row>
    <row r="66" spans="2:8" x14ac:dyDescent="0.2">
      <c r="B66" t="s">
        <v>66</v>
      </c>
      <c r="C66">
        <v>14</v>
      </c>
      <c r="D66">
        <v>4</v>
      </c>
      <c r="E66">
        <v>4</v>
      </c>
      <c r="F66" s="3">
        <v>0.63310185185185186</v>
      </c>
      <c r="G66">
        <f t="shared" si="4"/>
        <v>39</v>
      </c>
      <c r="H66" s="8">
        <v>43412</v>
      </c>
    </row>
    <row r="67" spans="2:8" x14ac:dyDescent="0.2">
      <c r="B67" t="s">
        <v>67</v>
      </c>
      <c r="C67">
        <v>15</v>
      </c>
      <c r="D67">
        <v>0</v>
      </c>
      <c r="E67">
        <v>4</v>
      </c>
      <c r="F67" s="3">
        <v>0.63359953703703698</v>
      </c>
      <c r="G67">
        <f t="shared" si="4"/>
        <v>35</v>
      </c>
      <c r="H67" s="8">
        <v>43412</v>
      </c>
    </row>
    <row r="68" spans="2:8" x14ac:dyDescent="0.2">
      <c r="B68" t="s">
        <v>68</v>
      </c>
      <c r="C68">
        <v>16</v>
      </c>
      <c r="D68">
        <v>0</v>
      </c>
      <c r="E68">
        <v>3</v>
      </c>
      <c r="F68" s="3">
        <v>0.63415509259259262</v>
      </c>
      <c r="G68">
        <f t="shared" si="4"/>
        <v>32</v>
      </c>
      <c r="H68" s="8">
        <v>43412</v>
      </c>
    </row>
    <row r="69" spans="2:8" x14ac:dyDescent="0.2">
      <c r="B69" t="s">
        <v>69</v>
      </c>
      <c r="C69">
        <v>17</v>
      </c>
      <c r="D69">
        <v>2</v>
      </c>
      <c r="E69">
        <v>1</v>
      </c>
      <c r="F69" s="3">
        <v>0.63491898148148151</v>
      </c>
      <c r="G69">
        <f t="shared" si="4"/>
        <v>33</v>
      </c>
      <c r="H69" s="8">
        <v>43412</v>
      </c>
    </row>
    <row r="70" spans="2:8" x14ac:dyDescent="0.2">
      <c r="B70" t="s">
        <v>70</v>
      </c>
      <c r="C70">
        <v>18</v>
      </c>
      <c r="D70">
        <v>0</v>
      </c>
      <c r="E70">
        <v>2</v>
      </c>
      <c r="F70" s="3">
        <v>0.6358449074074074</v>
      </c>
      <c r="G70">
        <f t="shared" si="4"/>
        <v>31</v>
      </c>
      <c r="H70" s="8">
        <v>43412</v>
      </c>
    </row>
    <row r="71" spans="2:8" x14ac:dyDescent="0.2">
      <c r="B71" t="s">
        <v>71</v>
      </c>
      <c r="C71">
        <v>19</v>
      </c>
      <c r="D71">
        <v>0</v>
      </c>
      <c r="E71">
        <v>5</v>
      </c>
      <c r="F71" s="3">
        <v>0.63753472222222218</v>
      </c>
      <c r="G71">
        <f t="shared" si="4"/>
        <v>26</v>
      </c>
      <c r="H71" s="8">
        <v>43412</v>
      </c>
    </row>
    <row r="72" spans="2:8" x14ac:dyDescent="0.2">
      <c r="B72" t="s">
        <v>72</v>
      </c>
      <c r="C72">
        <v>20</v>
      </c>
      <c r="D72">
        <v>1</v>
      </c>
      <c r="E72">
        <v>0</v>
      </c>
      <c r="F72" s="3">
        <v>0.6384953703703703</v>
      </c>
      <c r="G72">
        <f t="shared" si="4"/>
        <v>27</v>
      </c>
      <c r="H72" s="8">
        <v>43412</v>
      </c>
    </row>
    <row r="73" spans="2:8" x14ac:dyDescent="0.2">
      <c r="B73" t="s">
        <v>73</v>
      </c>
      <c r="C73">
        <v>21</v>
      </c>
      <c r="D73">
        <v>2</v>
      </c>
      <c r="E73">
        <v>3</v>
      </c>
      <c r="F73" s="3">
        <v>0.63965277777777774</v>
      </c>
      <c r="G73">
        <f t="shared" si="4"/>
        <v>26</v>
      </c>
      <c r="H73" s="8">
        <v>43412</v>
      </c>
    </row>
    <row r="74" spans="2:8" x14ac:dyDescent="0.2">
      <c r="B74" t="s">
        <v>76</v>
      </c>
      <c r="C74">
        <v>24</v>
      </c>
      <c r="D74">
        <v>0</v>
      </c>
      <c r="E74">
        <v>1</v>
      </c>
      <c r="F74" s="3">
        <v>0.64145833333333335</v>
      </c>
      <c r="G74">
        <f t="shared" si="4"/>
        <v>25</v>
      </c>
      <c r="H74" s="8">
        <v>43412</v>
      </c>
    </row>
    <row r="75" spans="2:8" x14ac:dyDescent="0.2">
      <c r="B75" t="s">
        <v>79</v>
      </c>
      <c r="C75">
        <v>27</v>
      </c>
      <c r="D75">
        <v>0</v>
      </c>
      <c r="E75">
        <v>1</v>
      </c>
      <c r="F75" s="3">
        <v>0.6425925925925926</v>
      </c>
      <c r="G75">
        <f t="shared" si="4"/>
        <v>24</v>
      </c>
      <c r="H75" s="8">
        <v>43412</v>
      </c>
    </row>
    <row r="76" spans="2:8" x14ac:dyDescent="0.2">
      <c r="B76" t="s">
        <v>80</v>
      </c>
      <c r="C76">
        <v>30</v>
      </c>
      <c r="D76">
        <v>0</v>
      </c>
      <c r="E76">
        <v>1</v>
      </c>
      <c r="F76" s="3">
        <v>0.64344907407407403</v>
      </c>
      <c r="G76">
        <f t="shared" si="4"/>
        <v>23</v>
      </c>
      <c r="H76" s="8">
        <v>43412</v>
      </c>
    </row>
    <row r="77" spans="2:8" x14ac:dyDescent="0.2">
      <c r="B77" t="s">
        <v>81</v>
      </c>
      <c r="C77">
        <v>31</v>
      </c>
      <c r="D77">
        <v>0</v>
      </c>
      <c r="E77">
        <v>2</v>
      </c>
      <c r="F77" s="3">
        <v>0.64385416666666673</v>
      </c>
      <c r="G77">
        <f t="shared" si="4"/>
        <v>21</v>
      </c>
      <c r="H77" s="8">
        <v>43412</v>
      </c>
    </row>
    <row r="78" spans="2:8" x14ac:dyDescent="0.2">
      <c r="B78" t="s">
        <v>82</v>
      </c>
      <c r="C78">
        <v>32</v>
      </c>
      <c r="D78">
        <v>0</v>
      </c>
      <c r="E78">
        <v>1</v>
      </c>
      <c r="F78" s="3">
        <v>0.64440972222222215</v>
      </c>
      <c r="G78">
        <f t="shared" si="4"/>
        <v>20</v>
      </c>
      <c r="H78" s="8">
        <v>43412</v>
      </c>
    </row>
    <row r="79" spans="2:8" x14ac:dyDescent="0.2">
      <c r="B79" t="s">
        <v>83</v>
      </c>
      <c r="C79">
        <v>33</v>
      </c>
      <c r="D79">
        <v>0</v>
      </c>
      <c r="E79">
        <v>7</v>
      </c>
      <c r="F79" s="3">
        <v>0.64574074074074073</v>
      </c>
      <c r="G79">
        <f t="shared" si="4"/>
        <v>13</v>
      </c>
      <c r="H79" s="8">
        <v>43412</v>
      </c>
    </row>
    <row r="80" spans="2:8" x14ac:dyDescent="0.2">
      <c r="B80" t="s">
        <v>84</v>
      </c>
      <c r="C80">
        <v>34</v>
      </c>
      <c r="D80">
        <v>0</v>
      </c>
      <c r="E80">
        <v>2</v>
      </c>
      <c r="F80" s="3">
        <v>0.6464699074074074</v>
      </c>
      <c r="G80">
        <f t="shared" si="4"/>
        <v>11</v>
      </c>
      <c r="H80" s="8">
        <v>43412</v>
      </c>
    </row>
    <row r="81" spans="1:8" x14ac:dyDescent="0.2">
      <c r="B81" t="s">
        <v>85</v>
      </c>
      <c r="C81">
        <v>35</v>
      </c>
      <c r="D81">
        <v>0</v>
      </c>
      <c r="E81">
        <v>2</v>
      </c>
      <c r="F81" s="3">
        <v>0.6473726851851852</v>
      </c>
      <c r="G81">
        <f t="shared" si="4"/>
        <v>9</v>
      </c>
      <c r="H81" s="8">
        <v>43412</v>
      </c>
    </row>
    <row r="82" spans="1:8" x14ac:dyDescent="0.2">
      <c r="B82" t="s">
        <v>86</v>
      </c>
      <c r="C82">
        <v>36</v>
      </c>
      <c r="D82">
        <v>0</v>
      </c>
      <c r="E82">
        <v>9</v>
      </c>
      <c r="F82" s="3">
        <v>0.64849537037037031</v>
      </c>
      <c r="G82">
        <f t="shared" si="4"/>
        <v>0</v>
      </c>
      <c r="H82" s="8">
        <v>43412</v>
      </c>
    </row>
    <row r="84" spans="1:8" x14ac:dyDescent="0.2">
      <c r="A84" t="s">
        <v>87</v>
      </c>
      <c r="B84" s="4" t="s">
        <v>88</v>
      </c>
      <c r="C84" s="4">
        <v>1</v>
      </c>
      <c r="D84">
        <v>2</v>
      </c>
      <c r="E84">
        <v>0</v>
      </c>
      <c r="F84" s="3">
        <v>0.65150462962962963</v>
      </c>
      <c r="G84">
        <v>2</v>
      </c>
      <c r="H84" s="8">
        <v>43412</v>
      </c>
    </row>
    <row r="85" spans="1:8" x14ac:dyDescent="0.2">
      <c r="A85" t="s">
        <v>133</v>
      </c>
      <c r="B85" s="5" t="s">
        <v>89</v>
      </c>
      <c r="C85" s="4">
        <v>2</v>
      </c>
      <c r="F85" s="3">
        <v>0.65262731481481484</v>
      </c>
      <c r="G85">
        <f t="shared" si="4"/>
        <v>2</v>
      </c>
      <c r="H85" s="8">
        <v>43412</v>
      </c>
    </row>
    <row r="86" spans="1:8" x14ac:dyDescent="0.2">
      <c r="B86" s="5" t="s">
        <v>90</v>
      </c>
      <c r="C86" s="4">
        <v>3</v>
      </c>
      <c r="F86" s="3">
        <v>0.65315972222222218</v>
      </c>
      <c r="G86">
        <f t="shared" si="4"/>
        <v>2</v>
      </c>
      <c r="H86" s="8">
        <v>43412</v>
      </c>
    </row>
    <row r="87" spans="1:8" x14ac:dyDescent="0.2">
      <c r="B87" s="4" t="s">
        <v>91</v>
      </c>
      <c r="C87" s="4">
        <v>4</v>
      </c>
      <c r="D87">
        <v>2</v>
      </c>
      <c r="E87">
        <v>0</v>
      </c>
      <c r="F87" s="3">
        <v>0.65449074074074076</v>
      </c>
      <c r="G87">
        <f t="shared" si="4"/>
        <v>4</v>
      </c>
      <c r="H87" s="8">
        <v>43412</v>
      </c>
    </row>
    <row r="88" spans="1:8" x14ac:dyDescent="0.2">
      <c r="B88" s="4" t="s">
        <v>81</v>
      </c>
      <c r="C88" s="4">
        <v>5</v>
      </c>
      <c r="F88" s="3">
        <v>0.6555671296296296</v>
      </c>
      <c r="G88">
        <f t="shared" si="4"/>
        <v>4</v>
      </c>
      <c r="H88" s="8">
        <v>43412</v>
      </c>
    </row>
    <row r="89" spans="1:8" x14ac:dyDescent="0.2">
      <c r="B89" s="4" t="s">
        <v>80</v>
      </c>
      <c r="C89" s="4">
        <v>6</v>
      </c>
      <c r="F89" s="3">
        <v>0.6557291666666667</v>
      </c>
      <c r="G89">
        <f t="shared" si="4"/>
        <v>4</v>
      </c>
      <c r="H89" s="8">
        <v>43412</v>
      </c>
    </row>
    <row r="90" spans="1:8" x14ac:dyDescent="0.2">
      <c r="B90" s="4" t="s">
        <v>92</v>
      </c>
      <c r="C90" s="4">
        <v>7</v>
      </c>
      <c r="F90" s="3">
        <v>0.65611111111111109</v>
      </c>
      <c r="G90">
        <f t="shared" si="4"/>
        <v>4</v>
      </c>
      <c r="H90" s="8">
        <v>43412</v>
      </c>
    </row>
    <row r="91" spans="1:8" x14ac:dyDescent="0.2">
      <c r="B91" s="4" t="s">
        <v>79</v>
      </c>
      <c r="C91" s="4">
        <v>8</v>
      </c>
      <c r="F91" s="3">
        <v>0.65648148148148155</v>
      </c>
      <c r="G91">
        <f t="shared" si="4"/>
        <v>4</v>
      </c>
      <c r="H91" s="8">
        <v>43412</v>
      </c>
    </row>
    <row r="92" spans="1:8" x14ac:dyDescent="0.2">
      <c r="B92" s="4" t="s">
        <v>78</v>
      </c>
      <c r="C92" s="4">
        <v>9</v>
      </c>
      <c r="F92" s="3">
        <v>0.6573148148148148</v>
      </c>
      <c r="G92">
        <f t="shared" si="4"/>
        <v>4</v>
      </c>
      <c r="H92" s="8">
        <v>43412</v>
      </c>
    </row>
    <row r="93" spans="1:8" x14ac:dyDescent="0.2">
      <c r="B93" s="4" t="s">
        <v>77</v>
      </c>
      <c r="C93" s="4">
        <v>10</v>
      </c>
      <c r="F93" s="3">
        <v>0.65756944444444443</v>
      </c>
      <c r="G93">
        <f t="shared" si="4"/>
        <v>4</v>
      </c>
      <c r="H93" s="8">
        <v>43412</v>
      </c>
    </row>
    <row r="94" spans="1:8" x14ac:dyDescent="0.2">
      <c r="B94" s="4" t="s">
        <v>76</v>
      </c>
      <c r="C94" s="4">
        <v>11</v>
      </c>
      <c r="F94" s="3">
        <v>0.65856481481481477</v>
      </c>
      <c r="G94">
        <f t="shared" si="4"/>
        <v>4</v>
      </c>
      <c r="H94" s="8">
        <v>43412</v>
      </c>
    </row>
    <row r="95" spans="1:8" x14ac:dyDescent="0.2">
      <c r="B95" s="5" t="s">
        <v>75</v>
      </c>
      <c r="C95" s="4">
        <v>12</v>
      </c>
      <c r="F95" s="3">
        <v>0.65932870370370367</v>
      </c>
      <c r="G95">
        <f t="shared" si="4"/>
        <v>4</v>
      </c>
      <c r="H95" s="8">
        <v>43412</v>
      </c>
    </row>
    <row r="96" spans="1:8" x14ac:dyDescent="0.2">
      <c r="B96" s="4" t="s">
        <v>74</v>
      </c>
      <c r="C96" s="4">
        <v>13</v>
      </c>
      <c r="F96" s="3">
        <v>0.66057870370370375</v>
      </c>
      <c r="G96">
        <f t="shared" si="4"/>
        <v>4</v>
      </c>
      <c r="H96" s="8">
        <v>43412</v>
      </c>
    </row>
    <row r="97" spans="1:8" x14ac:dyDescent="0.2">
      <c r="B97" s="5" t="s">
        <v>93</v>
      </c>
      <c r="C97" s="4">
        <v>14</v>
      </c>
      <c r="F97" s="3">
        <v>0.66226851851851853</v>
      </c>
      <c r="G97">
        <f t="shared" si="4"/>
        <v>4</v>
      </c>
      <c r="H97" s="8">
        <v>43412</v>
      </c>
    </row>
    <row r="98" spans="1:8" x14ac:dyDescent="0.2">
      <c r="B98" s="4" t="s">
        <v>94</v>
      </c>
      <c r="C98" s="4">
        <v>15</v>
      </c>
      <c r="D98">
        <v>3</v>
      </c>
      <c r="E98">
        <v>0</v>
      </c>
      <c r="F98" s="3">
        <v>0.66347222222222224</v>
      </c>
      <c r="G98">
        <f t="shared" si="4"/>
        <v>7</v>
      </c>
      <c r="H98" s="8">
        <v>43412</v>
      </c>
    </row>
    <row r="99" spans="1:8" x14ac:dyDescent="0.2">
      <c r="B99" s="5" t="s">
        <v>95</v>
      </c>
      <c r="C99" s="4">
        <v>16</v>
      </c>
      <c r="F99" s="3">
        <v>0.66465277777777776</v>
      </c>
      <c r="G99">
        <f t="shared" si="4"/>
        <v>7</v>
      </c>
      <c r="H99" s="8">
        <v>43412</v>
      </c>
    </row>
    <row r="100" spans="1:8" x14ac:dyDescent="0.2">
      <c r="B100" s="5" t="s">
        <v>96</v>
      </c>
      <c r="C100" s="4">
        <v>17</v>
      </c>
      <c r="F100" s="3">
        <v>0.66553240740740738</v>
      </c>
      <c r="G100">
        <f t="shared" si="4"/>
        <v>7</v>
      </c>
      <c r="H100" s="8">
        <v>43412</v>
      </c>
    </row>
    <row r="101" spans="1:8" x14ac:dyDescent="0.2">
      <c r="B101" s="5" t="s">
        <v>97</v>
      </c>
      <c r="C101" s="4">
        <v>18</v>
      </c>
      <c r="D101">
        <v>6</v>
      </c>
      <c r="E101">
        <v>0</v>
      </c>
      <c r="F101" s="3">
        <v>0.66666666666666663</v>
      </c>
      <c r="G101">
        <f t="shared" si="4"/>
        <v>13</v>
      </c>
      <c r="H101" s="8">
        <v>43412</v>
      </c>
    </row>
    <row r="102" spans="1:8" x14ac:dyDescent="0.2">
      <c r="B102" s="5" t="s">
        <v>98</v>
      </c>
      <c r="C102" s="4">
        <v>19</v>
      </c>
      <c r="D102">
        <v>0</v>
      </c>
      <c r="E102">
        <v>2</v>
      </c>
      <c r="F102" s="3">
        <v>0.66995370370370377</v>
      </c>
      <c r="G102">
        <f t="shared" si="4"/>
        <v>11</v>
      </c>
      <c r="H102" s="8">
        <v>43412</v>
      </c>
    </row>
    <row r="104" spans="1:8" x14ac:dyDescent="0.2">
      <c r="A104" t="s">
        <v>118</v>
      </c>
      <c r="B104" s="5" t="s">
        <v>53</v>
      </c>
      <c r="C104">
        <v>1</v>
      </c>
      <c r="D104">
        <v>1</v>
      </c>
      <c r="F104" s="3">
        <v>0.79541666666666666</v>
      </c>
      <c r="G104">
        <v>1</v>
      </c>
      <c r="H104" s="8">
        <v>43412</v>
      </c>
    </row>
    <row r="105" spans="1:8" x14ac:dyDescent="0.2">
      <c r="A105" t="s">
        <v>133</v>
      </c>
      <c r="B105" s="5" t="s">
        <v>54</v>
      </c>
      <c r="C105">
        <v>2</v>
      </c>
      <c r="D105">
        <v>1</v>
      </c>
      <c r="F105" s="3">
        <v>0.79576388888888883</v>
      </c>
      <c r="G105">
        <f t="shared" si="4"/>
        <v>2</v>
      </c>
      <c r="H105" s="8">
        <v>43412</v>
      </c>
    </row>
    <row r="106" spans="1:8" x14ac:dyDescent="0.2">
      <c r="B106" s="5" t="s">
        <v>55</v>
      </c>
      <c r="C106">
        <v>3</v>
      </c>
      <c r="D106">
        <v>1</v>
      </c>
      <c r="F106" s="3">
        <v>0.79759259259259263</v>
      </c>
      <c r="G106">
        <f t="shared" si="4"/>
        <v>3</v>
      </c>
      <c r="H106" s="8">
        <v>43412</v>
      </c>
    </row>
    <row r="107" spans="1:8" x14ac:dyDescent="0.2">
      <c r="B107" s="5" t="s">
        <v>56</v>
      </c>
      <c r="C107">
        <v>4</v>
      </c>
      <c r="D107">
        <v>2</v>
      </c>
      <c r="F107" s="3">
        <v>0.7981597222222222</v>
      </c>
      <c r="G107">
        <f t="shared" si="4"/>
        <v>5</v>
      </c>
      <c r="H107" s="8">
        <v>43412</v>
      </c>
    </row>
    <row r="108" spans="1:8" x14ac:dyDescent="0.2">
      <c r="B108" s="5" t="s">
        <v>57</v>
      </c>
      <c r="C108">
        <v>5</v>
      </c>
      <c r="D108">
        <v>2</v>
      </c>
      <c r="F108" s="3">
        <v>0.80107638888888888</v>
      </c>
      <c r="G108">
        <f t="shared" si="4"/>
        <v>7</v>
      </c>
      <c r="H108" s="8">
        <v>43412</v>
      </c>
    </row>
    <row r="109" spans="1:8" x14ac:dyDescent="0.2">
      <c r="B109" s="5" t="s">
        <v>58</v>
      </c>
      <c r="C109">
        <v>6</v>
      </c>
      <c r="E109">
        <v>1</v>
      </c>
      <c r="F109" s="3">
        <v>0.80179398148148151</v>
      </c>
      <c r="G109">
        <f t="shared" si="4"/>
        <v>6</v>
      </c>
      <c r="H109" s="8">
        <v>43412</v>
      </c>
    </row>
    <row r="110" spans="1:8" x14ac:dyDescent="0.2">
      <c r="B110" s="5" t="s">
        <v>60</v>
      </c>
      <c r="C110">
        <v>8</v>
      </c>
      <c r="E110">
        <v>1</v>
      </c>
      <c r="F110" s="3">
        <v>0.80335648148148142</v>
      </c>
      <c r="G110">
        <f t="shared" si="4"/>
        <v>5</v>
      </c>
      <c r="H110" s="8">
        <v>43412</v>
      </c>
    </row>
    <row r="111" spans="1:8" x14ac:dyDescent="0.2">
      <c r="B111" s="5" t="s">
        <v>61</v>
      </c>
      <c r="C111">
        <v>9</v>
      </c>
      <c r="F111" s="3">
        <v>0.80444444444444441</v>
      </c>
      <c r="G111">
        <f t="shared" si="4"/>
        <v>5</v>
      </c>
      <c r="H111" s="8">
        <v>43412</v>
      </c>
    </row>
    <row r="112" spans="1:8" x14ac:dyDescent="0.2">
      <c r="B112" s="5" t="s">
        <v>99</v>
      </c>
      <c r="C112">
        <v>10</v>
      </c>
      <c r="D112">
        <v>2</v>
      </c>
      <c r="E112">
        <v>2</v>
      </c>
      <c r="F112" s="3">
        <v>0.80672453703703706</v>
      </c>
      <c r="G112">
        <f t="shared" si="4"/>
        <v>5</v>
      </c>
      <c r="H112" s="8">
        <v>43412</v>
      </c>
    </row>
    <row r="113" spans="1:8" x14ac:dyDescent="0.2">
      <c r="B113" s="5" t="s">
        <v>100</v>
      </c>
      <c r="C113">
        <v>11</v>
      </c>
      <c r="E113">
        <v>1</v>
      </c>
      <c r="F113" s="3">
        <v>0.80773148148148144</v>
      </c>
      <c r="G113">
        <f t="shared" si="4"/>
        <v>4</v>
      </c>
      <c r="H113" s="8">
        <v>43412</v>
      </c>
    </row>
    <row r="114" spans="1:8" x14ac:dyDescent="0.2">
      <c r="B114" s="5" t="s">
        <v>104</v>
      </c>
      <c r="C114">
        <v>20</v>
      </c>
      <c r="D114">
        <v>1</v>
      </c>
      <c r="F114" s="3">
        <v>0.81258101851851849</v>
      </c>
      <c r="G114">
        <f t="shared" si="4"/>
        <v>5</v>
      </c>
      <c r="H114" s="8">
        <v>43412</v>
      </c>
    </row>
    <row r="115" spans="1:8" x14ac:dyDescent="0.2">
      <c r="B115" s="5" t="s">
        <v>107</v>
      </c>
      <c r="C115">
        <v>23</v>
      </c>
      <c r="F115" s="3">
        <v>0.81634259259259256</v>
      </c>
      <c r="G115">
        <f t="shared" si="4"/>
        <v>5</v>
      </c>
      <c r="H115" s="8">
        <v>43412</v>
      </c>
    </row>
    <row r="116" spans="1:8" x14ac:dyDescent="0.2">
      <c r="B116" s="5" t="s">
        <v>108</v>
      </c>
      <c r="C116">
        <v>24</v>
      </c>
      <c r="F116" s="3">
        <v>0.81730324074074068</v>
      </c>
      <c r="G116">
        <f t="shared" si="4"/>
        <v>5</v>
      </c>
      <c r="H116" s="8">
        <v>43412</v>
      </c>
    </row>
    <row r="117" spans="1:8" x14ac:dyDescent="0.2">
      <c r="B117" s="5" t="s">
        <v>112</v>
      </c>
      <c r="C117">
        <v>33</v>
      </c>
      <c r="E117">
        <v>1</v>
      </c>
      <c r="F117" s="3">
        <v>0.82436342592592593</v>
      </c>
      <c r="G117">
        <f t="shared" si="4"/>
        <v>4</v>
      </c>
      <c r="H117" s="8">
        <v>43412</v>
      </c>
    </row>
    <row r="118" spans="1:8" x14ac:dyDescent="0.2">
      <c r="B118" s="5" t="s">
        <v>115</v>
      </c>
      <c r="C118">
        <v>38</v>
      </c>
      <c r="E118">
        <v>2</v>
      </c>
      <c r="F118" s="3">
        <v>0.8273032407407408</v>
      </c>
      <c r="G118">
        <f t="shared" si="4"/>
        <v>2</v>
      </c>
      <c r="H118" s="8">
        <v>43412</v>
      </c>
    </row>
    <row r="119" spans="1:8" x14ac:dyDescent="0.2">
      <c r="B119" s="5" t="s">
        <v>117</v>
      </c>
      <c r="C119">
        <v>40</v>
      </c>
      <c r="F119" s="3">
        <v>0.82877314814814806</v>
      </c>
      <c r="G119">
        <f t="shared" ref="G119" si="5">SUM(G118+D119-E119)</f>
        <v>2</v>
      </c>
      <c r="H119" s="8">
        <v>43412</v>
      </c>
    </row>
    <row r="121" spans="1:8" x14ac:dyDescent="0.2">
      <c r="A121" t="s">
        <v>120</v>
      </c>
      <c r="B121" s="6" t="s">
        <v>121</v>
      </c>
      <c r="C121">
        <v>1</v>
      </c>
      <c r="D121">
        <v>2</v>
      </c>
      <c r="F121" s="3">
        <v>0.8187268518518519</v>
      </c>
      <c r="G121">
        <v>2</v>
      </c>
      <c r="H121" s="8">
        <v>43413</v>
      </c>
    </row>
    <row r="122" spans="1:8" x14ac:dyDescent="0.2">
      <c r="A122" t="s">
        <v>134</v>
      </c>
      <c r="B122" s="6" t="s">
        <v>122</v>
      </c>
      <c r="C122">
        <v>2</v>
      </c>
      <c r="D122">
        <v>2</v>
      </c>
      <c r="F122" s="3">
        <v>0.82011574074074067</v>
      </c>
      <c r="G122">
        <f t="shared" ref="G122:G136" si="6">SUM(G121+D122-E122)</f>
        <v>4</v>
      </c>
      <c r="H122" s="8">
        <v>43413</v>
      </c>
    </row>
    <row r="123" spans="1:8" x14ac:dyDescent="0.2">
      <c r="B123" s="6" t="s">
        <v>115</v>
      </c>
      <c r="C123">
        <v>3</v>
      </c>
      <c r="D123">
        <v>1</v>
      </c>
      <c r="F123" s="3">
        <v>0.82097222222222221</v>
      </c>
      <c r="G123">
        <f t="shared" si="6"/>
        <v>5</v>
      </c>
      <c r="H123" s="8">
        <v>43413</v>
      </c>
    </row>
    <row r="124" spans="1:8" x14ac:dyDescent="0.2">
      <c r="B124" s="6" t="s">
        <v>123</v>
      </c>
      <c r="C124">
        <v>4</v>
      </c>
      <c r="F124" s="3">
        <v>0.82238425925925929</v>
      </c>
      <c r="G124">
        <f t="shared" si="6"/>
        <v>5</v>
      </c>
      <c r="H124" s="8">
        <v>43413</v>
      </c>
    </row>
    <row r="125" spans="1:8" x14ac:dyDescent="0.2">
      <c r="B125" s="6" t="s">
        <v>124</v>
      </c>
      <c r="C125">
        <v>6</v>
      </c>
      <c r="D125">
        <v>1</v>
      </c>
      <c r="E125">
        <v>1</v>
      </c>
      <c r="F125" s="3">
        <v>0.82349537037037035</v>
      </c>
      <c r="G125">
        <f t="shared" si="6"/>
        <v>5</v>
      </c>
      <c r="H125" s="8">
        <v>43413</v>
      </c>
    </row>
    <row r="126" spans="1:8" x14ac:dyDescent="0.2">
      <c r="B126" s="6" t="s">
        <v>125</v>
      </c>
      <c r="C126">
        <v>10</v>
      </c>
      <c r="D126">
        <v>1</v>
      </c>
      <c r="E126">
        <v>2</v>
      </c>
      <c r="F126" s="3">
        <v>0.82745370370370364</v>
      </c>
      <c r="G126">
        <f t="shared" si="6"/>
        <v>4</v>
      </c>
      <c r="H126" s="8">
        <v>43413</v>
      </c>
    </row>
    <row r="127" spans="1:8" x14ac:dyDescent="0.2">
      <c r="B127" s="6" t="s">
        <v>109</v>
      </c>
      <c r="C127">
        <v>14</v>
      </c>
      <c r="D127">
        <v>2</v>
      </c>
      <c r="E127">
        <v>1</v>
      </c>
      <c r="F127" s="3">
        <v>0.82856481481481481</v>
      </c>
      <c r="G127">
        <f t="shared" si="6"/>
        <v>5</v>
      </c>
      <c r="H127" s="8">
        <v>43413</v>
      </c>
    </row>
    <row r="128" spans="1:8" x14ac:dyDescent="0.2">
      <c r="B128" s="6" t="s">
        <v>126</v>
      </c>
      <c r="C128">
        <v>15</v>
      </c>
      <c r="D128">
        <v>1</v>
      </c>
      <c r="F128" s="3">
        <v>0.82900462962962962</v>
      </c>
      <c r="G128">
        <f t="shared" si="6"/>
        <v>6</v>
      </c>
      <c r="H128" s="8">
        <v>43413</v>
      </c>
    </row>
    <row r="129" spans="1:8" hidden="1" x14ac:dyDescent="0.2">
      <c r="B129" s="6" t="s">
        <v>107</v>
      </c>
      <c r="C129">
        <v>18</v>
      </c>
      <c r="D129">
        <v>6</v>
      </c>
      <c r="E129">
        <v>2</v>
      </c>
      <c r="F129" s="3">
        <v>0.83165509259259263</v>
      </c>
      <c r="G129">
        <f t="shared" si="6"/>
        <v>10</v>
      </c>
      <c r="H129" s="8">
        <v>43413</v>
      </c>
    </row>
    <row r="130" spans="1:8" x14ac:dyDescent="0.2">
      <c r="B130" s="6" t="s">
        <v>127</v>
      </c>
      <c r="C130">
        <v>21</v>
      </c>
      <c r="E130">
        <v>1</v>
      </c>
      <c r="F130" s="3">
        <v>0.83303240740740747</v>
      </c>
      <c r="G130">
        <f t="shared" si="6"/>
        <v>9</v>
      </c>
      <c r="H130" s="8">
        <v>43413</v>
      </c>
    </row>
    <row r="131" spans="1:8" x14ac:dyDescent="0.2">
      <c r="B131" s="6" t="s">
        <v>128</v>
      </c>
      <c r="C131">
        <v>22</v>
      </c>
      <c r="D131">
        <v>2</v>
      </c>
      <c r="F131" s="3">
        <v>0.83364583333333331</v>
      </c>
      <c r="G131">
        <f t="shared" si="6"/>
        <v>11</v>
      </c>
      <c r="H131" s="8">
        <v>43413</v>
      </c>
    </row>
    <row r="132" spans="1:8" x14ac:dyDescent="0.2">
      <c r="B132" s="6" t="s">
        <v>101</v>
      </c>
      <c r="C132">
        <v>24</v>
      </c>
      <c r="E132">
        <v>1</v>
      </c>
      <c r="F132" s="3">
        <v>0.83461805555555557</v>
      </c>
      <c r="G132">
        <f t="shared" si="6"/>
        <v>10</v>
      </c>
      <c r="H132" s="8">
        <v>43413</v>
      </c>
    </row>
    <row r="133" spans="1:8" x14ac:dyDescent="0.2">
      <c r="B133" s="6" t="s">
        <v>129</v>
      </c>
      <c r="C133">
        <v>25</v>
      </c>
      <c r="D133">
        <v>1</v>
      </c>
      <c r="F133" s="3">
        <v>0.83512731481481473</v>
      </c>
      <c r="G133">
        <f t="shared" si="6"/>
        <v>11</v>
      </c>
      <c r="H133" s="8">
        <v>43413</v>
      </c>
    </row>
    <row r="134" spans="1:8" x14ac:dyDescent="0.2">
      <c r="B134" s="6" t="s">
        <v>130</v>
      </c>
      <c r="C134">
        <v>27</v>
      </c>
      <c r="E134">
        <v>2</v>
      </c>
      <c r="F134" s="3">
        <v>0.8357175925925926</v>
      </c>
      <c r="G134">
        <f t="shared" si="6"/>
        <v>9</v>
      </c>
      <c r="H134" s="8">
        <v>43413</v>
      </c>
    </row>
    <row r="135" spans="1:8" x14ac:dyDescent="0.2">
      <c r="B135" s="6" t="s">
        <v>131</v>
      </c>
      <c r="C135">
        <v>28</v>
      </c>
      <c r="D135">
        <v>3</v>
      </c>
      <c r="E135">
        <v>2</v>
      </c>
      <c r="F135" s="3">
        <v>0.83681712962962962</v>
      </c>
      <c r="G135">
        <f t="shared" si="6"/>
        <v>10</v>
      </c>
      <c r="H135" s="8">
        <v>43413</v>
      </c>
    </row>
    <row r="136" spans="1:8" x14ac:dyDescent="0.2">
      <c r="B136" s="6" t="s">
        <v>132</v>
      </c>
      <c r="C136">
        <v>29</v>
      </c>
      <c r="F136" s="3">
        <v>0.83736111111111111</v>
      </c>
      <c r="G136">
        <f t="shared" si="6"/>
        <v>10</v>
      </c>
      <c r="H136" s="8">
        <v>43413</v>
      </c>
    </row>
    <row r="139" spans="1:8" x14ac:dyDescent="0.2">
      <c r="A139" t="s">
        <v>118</v>
      </c>
      <c r="B139" s="5" t="s">
        <v>53</v>
      </c>
      <c r="C139">
        <v>1</v>
      </c>
      <c r="D139">
        <v>0</v>
      </c>
      <c r="F139" s="3">
        <v>0.77834490740740747</v>
      </c>
      <c r="G139">
        <v>9</v>
      </c>
      <c r="H139" s="8">
        <v>43413</v>
      </c>
    </row>
    <row r="140" spans="1:8" x14ac:dyDescent="0.2">
      <c r="B140" s="5" t="s">
        <v>56</v>
      </c>
      <c r="C140">
        <v>4</v>
      </c>
      <c r="D140">
        <v>1</v>
      </c>
      <c r="F140" s="3">
        <v>0.77973379629629624</v>
      </c>
      <c r="G140">
        <f>G139+D140-E140</f>
        <v>10</v>
      </c>
      <c r="H140" s="8">
        <v>43413</v>
      </c>
    </row>
    <row r="141" spans="1:8" x14ac:dyDescent="0.2">
      <c r="B141" s="5" t="s">
        <v>57</v>
      </c>
      <c r="C141">
        <v>5</v>
      </c>
      <c r="D141" s="7">
        <v>4</v>
      </c>
      <c r="E141">
        <v>2</v>
      </c>
      <c r="F141" s="3">
        <v>0.78291666666666659</v>
      </c>
      <c r="G141">
        <f t="shared" ref="G141:G162" si="7">SUM(G140+D141-E141)</f>
        <v>12</v>
      </c>
      <c r="H141" s="8">
        <v>43413</v>
      </c>
    </row>
    <row r="142" spans="1:8" x14ac:dyDescent="0.2">
      <c r="B142" s="5" t="s">
        <v>58</v>
      </c>
      <c r="C142">
        <v>6</v>
      </c>
      <c r="D142" s="7">
        <v>4</v>
      </c>
      <c r="F142" s="3">
        <v>0.7836805555555556</v>
      </c>
      <c r="G142">
        <f t="shared" si="7"/>
        <v>16</v>
      </c>
      <c r="H142" s="8">
        <v>43413</v>
      </c>
    </row>
    <row r="143" spans="1:8" x14ac:dyDescent="0.2">
      <c r="B143" s="5" t="s">
        <v>59</v>
      </c>
      <c r="C143">
        <v>7</v>
      </c>
      <c r="D143" s="7">
        <v>2</v>
      </c>
      <c r="E143">
        <v>1</v>
      </c>
      <c r="F143" s="3">
        <v>0.78445601851851843</v>
      </c>
      <c r="G143">
        <f t="shared" si="7"/>
        <v>17</v>
      </c>
      <c r="H143" s="8">
        <v>43413</v>
      </c>
    </row>
    <row r="144" spans="1:8" x14ac:dyDescent="0.2">
      <c r="B144" s="5" t="s">
        <v>60</v>
      </c>
      <c r="C144">
        <v>8</v>
      </c>
      <c r="D144" s="7">
        <v>5</v>
      </c>
      <c r="F144" s="3">
        <v>0.78506944444444438</v>
      </c>
      <c r="G144">
        <f t="shared" si="7"/>
        <v>22</v>
      </c>
      <c r="H144" s="8">
        <v>43413</v>
      </c>
    </row>
    <row r="145" spans="2:8" x14ac:dyDescent="0.2">
      <c r="B145" s="5" t="s">
        <v>99</v>
      </c>
      <c r="C145">
        <v>10</v>
      </c>
      <c r="D145">
        <v>7</v>
      </c>
      <c r="E145">
        <v>1</v>
      </c>
      <c r="F145" s="3">
        <v>0.78822916666666665</v>
      </c>
      <c r="G145">
        <f t="shared" si="7"/>
        <v>28</v>
      </c>
      <c r="H145" s="8">
        <v>43413</v>
      </c>
    </row>
    <row r="146" spans="2:8" x14ac:dyDescent="0.2">
      <c r="B146" s="5" t="s">
        <v>100</v>
      </c>
      <c r="C146">
        <v>11</v>
      </c>
      <c r="E146">
        <v>1</v>
      </c>
      <c r="F146" s="3">
        <v>0.78930555555555559</v>
      </c>
      <c r="G146">
        <f t="shared" si="7"/>
        <v>27</v>
      </c>
      <c r="H146" s="8">
        <v>43413</v>
      </c>
    </row>
    <row r="147" spans="2:8" x14ac:dyDescent="0.2">
      <c r="B147" s="5" t="s">
        <v>101</v>
      </c>
      <c r="C147">
        <v>16</v>
      </c>
      <c r="E147">
        <v>2</v>
      </c>
      <c r="F147" s="3">
        <v>0.79114583333333333</v>
      </c>
      <c r="G147">
        <f t="shared" si="7"/>
        <v>25</v>
      </c>
      <c r="H147" s="8">
        <v>43413</v>
      </c>
    </row>
    <row r="148" spans="2:8" x14ac:dyDescent="0.2">
      <c r="B148" s="5" t="s">
        <v>102</v>
      </c>
      <c r="C148">
        <v>18</v>
      </c>
      <c r="E148">
        <v>1</v>
      </c>
      <c r="F148" s="3">
        <v>0.79200231481481476</v>
      </c>
      <c r="G148">
        <f t="shared" si="7"/>
        <v>24</v>
      </c>
      <c r="H148" s="8">
        <v>43413</v>
      </c>
    </row>
    <row r="149" spans="2:8" x14ac:dyDescent="0.2">
      <c r="B149" s="5" t="s">
        <v>103</v>
      </c>
      <c r="C149">
        <v>19</v>
      </c>
      <c r="D149">
        <v>2</v>
      </c>
      <c r="E149">
        <v>1</v>
      </c>
      <c r="F149" s="3">
        <v>0.79268518518518516</v>
      </c>
      <c r="G149">
        <f t="shared" si="7"/>
        <v>25</v>
      </c>
      <c r="H149" s="8">
        <v>43413</v>
      </c>
    </row>
    <row r="150" spans="2:8" x14ac:dyDescent="0.2">
      <c r="B150" s="5" t="s">
        <v>104</v>
      </c>
      <c r="C150">
        <v>20</v>
      </c>
      <c r="D150">
        <v>1</v>
      </c>
      <c r="E150">
        <v>1</v>
      </c>
      <c r="F150" s="3">
        <v>0.79335648148148152</v>
      </c>
      <c r="G150">
        <f t="shared" si="7"/>
        <v>25</v>
      </c>
      <c r="H150" s="8">
        <v>43413</v>
      </c>
    </row>
    <row r="151" spans="2:8" x14ac:dyDescent="0.2">
      <c r="B151" s="5" t="s">
        <v>105</v>
      </c>
      <c r="C151">
        <v>21</v>
      </c>
      <c r="D151">
        <v>1</v>
      </c>
      <c r="E151">
        <v>2</v>
      </c>
      <c r="F151" s="3">
        <v>0.79475694444444445</v>
      </c>
      <c r="G151">
        <f t="shared" si="7"/>
        <v>24</v>
      </c>
      <c r="H151" s="8">
        <v>43413</v>
      </c>
    </row>
    <row r="152" spans="2:8" x14ac:dyDescent="0.2">
      <c r="B152" s="5" t="s">
        <v>106</v>
      </c>
      <c r="C152">
        <v>22</v>
      </c>
      <c r="D152">
        <v>0</v>
      </c>
      <c r="E152">
        <v>5</v>
      </c>
      <c r="F152" s="3">
        <v>0.79538194444444443</v>
      </c>
      <c r="G152">
        <f t="shared" si="7"/>
        <v>19</v>
      </c>
      <c r="H152" s="8">
        <v>43413</v>
      </c>
    </row>
    <row r="153" spans="2:8" x14ac:dyDescent="0.2">
      <c r="B153" s="5" t="s">
        <v>107</v>
      </c>
      <c r="C153">
        <v>23</v>
      </c>
      <c r="D153">
        <v>6</v>
      </c>
      <c r="E153">
        <v>8</v>
      </c>
      <c r="F153" s="3">
        <v>0.79659722222222218</v>
      </c>
      <c r="G153">
        <f t="shared" si="7"/>
        <v>17</v>
      </c>
      <c r="H153" s="8">
        <v>43413</v>
      </c>
    </row>
    <row r="154" spans="2:8" x14ac:dyDescent="0.2">
      <c r="B154" s="5" t="s">
        <v>109</v>
      </c>
      <c r="C154">
        <v>27</v>
      </c>
      <c r="E154">
        <v>4</v>
      </c>
      <c r="F154" s="3">
        <v>0.79944444444444451</v>
      </c>
      <c r="G154">
        <f t="shared" si="7"/>
        <v>13</v>
      </c>
      <c r="H154" s="8">
        <v>43413</v>
      </c>
    </row>
    <row r="155" spans="2:8" x14ac:dyDescent="0.2">
      <c r="B155" s="5" t="s">
        <v>110</v>
      </c>
      <c r="C155">
        <v>30</v>
      </c>
      <c r="E155">
        <v>1</v>
      </c>
      <c r="F155" s="3">
        <v>0.80026620370370372</v>
      </c>
      <c r="G155">
        <f t="shared" si="7"/>
        <v>12</v>
      </c>
      <c r="H155" s="8">
        <v>43413</v>
      </c>
    </row>
    <row r="156" spans="2:8" x14ac:dyDescent="0.2">
      <c r="B156" s="5" t="s">
        <v>111</v>
      </c>
      <c r="C156">
        <v>32</v>
      </c>
      <c r="E156">
        <v>2</v>
      </c>
      <c r="F156" s="3">
        <v>0.802800925925926</v>
      </c>
      <c r="G156">
        <f t="shared" si="7"/>
        <v>10</v>
      </c>
      <c r="H156" s="8">
        <v>43413</v>
      </c>
    </row>
    <row r="157" spans="2:8" x14ac:dyDescent="0.2">
      <c r="B157" s="5" t="s">
        <v>112</v>
      </c>
      <c r="C157">
        <v>33</v>
      </c>
      <c r="E157">
        <v>2</v>
      </c>
      <c r="F157" s="3">
        <v>0.8033217592592593</v>
      </c>
      <c r="G157">
        <f t="shared" si="7"/>
        <v>8</v>
      </c>
      <c r="H157" s="8">
        <v>43413</v>
      </c>
    </row>
    <row r="158" spans="2:8" x14ac:dyDescent="0.2">
      <c r="B158" s="5" t="s">
        <v>113</v>
      </c>
      <c r="C158">
        <v>35</v>
      </c>
      <c r="D158">
        <v>1</v>
      </c>
      <c r="F158" s="3">
        <v>0.80434027777777783</v>
      </c>
      <c r="G158">
        <f t="shared" si="7"/>
        <v>9</v>
      </c>
      <c r="H158" s="8">
        <v>43413</v>
      </c>
    </row>
    <row r="159" spans="2:8" x14ac:dyDescent="0.2">
      <c r="B159" s="5" t="s">
        <v>114</v>
      </c>
      <c r="C159">
        <v>36</v>
      </c>
      <c r="E159">
        <v>1</v>
      </c>
      <c r="F159" s="3">
        <v>0.80574074074074076</v>
      </c>
      <c r="G159">
        <f t="shared" si="7"/>
        <v>8</v>
      </c>
      <c r="H159" s="8">
        <v>43413</v>
      </c>
    </row>
    <row r="160" spans="2:8" x14ac:dyDescent="0.2">
      <c r="B160" s="5" t="s">
        <v>115</v>
      </c>
      <c r="C160">
        <v>38</v>
      </c>
      <c r="E160">
        <v>1</v>
      </c>
      <c r="F160" s="3">
        <v>0.80806712962962957</v>
      </c>
      <c r="G160">
        <f t="shared" si="7"/>
        <v>7</v>
      </c>
      <c r="H160" s="8">
        <v>43413</v>
      </c>
    </row>
    <row r="161" spans="2:8" x14ac:dyDescent="0.2">
      <c r="B161" s="5" t="s">
        <v>116</v>
      </c>
      <c r="C161">
        <v>39</v>
      </c>
      <c r="E161">
        <v>6</v>
      </c>
      <c r="F161" s="3">
        <v>0.8091666666666667</v>
      </c>
      <c r="G161">
        <f t="shared" si="7"/>
        <v>1</v>
      </c>
      <c r="H161" s="8">
        <v>43413</v>
      </c>
    </row>
    <row r="162" spans="2:8" x14ac:dyDescent="0.2">
      <c r="B162" s="5" t="s">
        <v>117</v>
      </c>
      <c r="C162">
        <v>40</v>
      </c>
      <c r="F162" s="3">
        <v>0.81002314814814813</v>
      </c>
      <c r="G162">
        <f t="shared" si="7"/>
        <v>1</v>
      </c>
      <c r="H162" s="8">
        <v>43413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Hantao Liu</cp:lastModifiedBy>
  <dcterms:created xsi:type="dcterms:W3CDTF">2018-11-07T02:46:07Z</dcterms:created>
  <dcterms:modified xsi:type="dcterms:W3CDTF">2019-01-31T01:52:23Z</dcterms:modified>
</cp:coreProperties>
</file>